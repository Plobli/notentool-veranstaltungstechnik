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latt 1 - Auswertung Prüfungste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<sst xmlns="http://schemas.openxmlformats.org/spreadsheetml/2006/main" uniqueCount="31">
  <si>
    <t>Auswertung Prüfungsteile Kollege X</t>
  </si>
  <si>
    <t xml:space="preserve">
</t>
  </si>
  <si>
    <t>Prüfling 1</t>
  </si>
  <si>
    <t>Prüfling 2</t>
  </si>
  <si>
    <t>Prüfling 3</t>
  </si>
  <si>
    <t>Prüfling 4</t>
  </si>
  <si>
    <t>Prüfling 5</t>
  </si>
  <si>
    <t>Prüfling 6</t>
  </si>
  <si>
    <t>WISO</t>
  </si>
  <si>
    <t>Gebunden</t>
  </si>
  <si>
    <t>divisor</t>
  </si>
  <si>
    <t>Teilpunkte</t>
  </si>
  <si>
    <t>U1</t>
  </si>
  <si>
    <t>/</t>
  </si>
  <si>
    <t>U2</t>
  </si>
  <si>
    <t>U3</t>
  </si>
  <si>
    <t>U4</t>
  </si>
  <si>
    <t>U5</t>
  </si>
  <si>
    <t>U6</t>
  </si>
  <si>
    <t>Summe</t>
  </si>
  <si>
    <t>Faktor</t>
  </si>
  <si>
    <t>Punkte</t>
  </si>
  <si>
    <t>Veranstaltungsplanung</t>
  </si>
  <si>
    <t>U7</t>
  </si>
  <si>
    <t>U8</t>
  </si>
  <si>
    <t>U9</t>
  </si>
  <si>
    <t>U10</t>
  </si>
  <si>
    <t>Veranstaltungsdurchführung</t>
  </si>
  <si>
    <t>U11</t>
  </si>
  <si>
    <t>Divisor</t>
  </si>
  <si>
    <t>Energiev.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</si>
</sst>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 val="1"/>
      <sz val="11"/>
      <color indexed="8"/>
      <name val="Helvetica Neue"/>
    </font>
    <font>
      <b val="1"/>
      <i val="1"/>
      <sz val="11"/>
      <color indexed="8"/>
      <name val="Helvetica Neue"/>
    </font>
    <font>
      <strike val="1"/>
      <sz val="11"/>
      <color indexed="8"/>
      <name val="Helvetica Neue"/>
    </font>
    <font>
      <i val="1"/>
      <sz val="11"/>
      <color indexed="8"/>
      <name val="Helvetica Neue"/>
    </font>
    <font>
      <u val="single"/>
      <sz val="11"/>
      <color indexed="8"/>
      <name val="Helvetica Neue"/>
    </font>
    <font>
      <b val="1"/>
      <sz val="13"/>
      <color indexed="8"/>
      <name val="Helvetica Neue"/>
    </font>
    <font>
      <b val="1"/>
      <u val="single"/>
      <sz val="13"/>
      <color indexed="8"/>
      <name val="Helvetica Neue"/>
    </font>
    <font>
      <i val="1"/>
      <u val="single"/>
      <sz val="11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 wrapText="1"/>
    </xf>
    <xf numFmtId="49" fontId="3" fillId="2" borderId="1" applyNumberFormat="1" applyFont="1" applyFill="1" applyBorder="1" applyAlignment="1" applyProtection="0">
      <alignment vertical="center" wrapText="1"/>
    </xf>
    <xf numFmtId="49" fontId="3" borderId="2" applyNumberFormat="1" applyFont="1" applyFill="0" applyBorder="1" applyAlignment="1" applyProtection="0">
      <alignment horizontal="left" vertical="center" wrapText="1"/>
    </xf>
    <xf numFmtId="0" fontId="2" borderId="3" applyNumberFormat="1" applyFont="1" applyFill="0" applyBorder="1" applyAlignment="1" applyProtection="0">
      <alignment vertical="center" wrapText="1"/>
    </xf>
    <xf numFmtId="0" fontId="2" borderId="4" applyNumberFormat="1" applyFont="1" applyFill="0" applyBorder="1" applyAlignment="1" applyProtection="0">
      <alignment vertical="center" wrapText="1"/>
    </xf>
    <xf numFmtId="49" fontId="2" borderId="5" applyNumberFormat="1" applyFont="1" applyFill="0" applyBorder="1" applyAlignment="1" applyProtection="0">
      <alignment horizontal="left" vertical="center" wrapText="1"/>
    </xf>
    <xf numFmtId="0" fontId="2" borderId="6" applyNumberFormat="1" applyFont="1" applyFill="0" applyBorder="1" applyAlignment="1" applyProtection="0">
      <alignment vertical="center" wrapText="1"/>
    </xf>
    <xf numFmtId="0" fontId="2" borderId="7" applyNumberFormat="1" applyFont="1" applyFill="0" applyBorder="1" applyAlignment="1" applyProtection="0">
      <alignment vertical="center" wrapText="1"/>
    </xf>
    <xf numFmtId="49" fontId="4" borderId="5" applyNumberFormat="1" applyFont="1" applyFill="0" applyBorder="1" applyAlignment="1" applyProtection="0">
      <alignment vertical="center" wrapText="1"/>
    </xf>
    <xf numFmtId="0" fontId="3" borderId="5" applyNumberFormat="0" applyFont="1" applyFill="0" applyBorder="1" applyAlignment="1" applyProtection="0">
      <alignment vertical="center" wrapText="1"/>
    </xf>
    <xf numFmtId="49" fontId="2" borderId="6" applyNumberFormat="1" applyFont="1" applyFill="0" applyBorder="1" applyAlignment="1" applyProtection="0">
      <alignment horizontal="left" vertical="center" wrapText="1"/>
    </xf>
    <xf numFmtId="49" fontId="2" borderId="7" applyNumberFormat="1" applyFont="1" applyFill="0" applyBorder="1" applyAlignment="1" applyProtection="0">
      <alignment horizontal="left" vertical="center" wrapText="1"/>
    </xf>
    <xf numFmtId="0" fontId="5" borderId="7" applyNumberFormat="1" applyFont="1" applyFill="0" applyBorder="1" applyAlignment="1" applyProtection="0">
      <alignment vertical="center" wrapText="1"/>
    </xf>
    <xf numFmtId="49" fontId="6" borderId="5" applyNumberFormat="1" applyFont="1" applyFill="0" applyBorder="1" applyAlignment="1" applyProtection="0">
      <alignment horizontal="left" vertical="center" wrapText="1"/>
    </xf>
    <xf numFmtId="0" fontId="6" borderId="6" applyNumberFormat="1" applyFont="1" applyFill="0" applyBorder="1" applyAlignment="1" applyProtection="0">
      <alignment vertical="center" wrapText="1"/>
    </xf>
    <xf numFmtId="0" fontId="6" borderId="7" applyNumberFormat="1" applyFont="1" applyFill="0" applyBorder="1" applyAlignment="1" applyProtection="0">
      <alignment vertical="center" wrapText="1"/>
    </xf>
    <xf numFmtId="49" fontId="4" borderId="5" applyNumberFormat="1" applyFont="1" applyFill="0" applyBorder="1" applyAlignment="1" applyProtection="0">
      <alignment horizontal="left" vertical="center" wrapText="1"/>
    </xf>
    <xf numFmtId="0" fontId="7" borderId="6" applyNumberFormat="1" applyFont="1" applyFill="0" applyBorder="1" applyAlignment="1" applyProtection="0">
      <alignment vertical="center" wrapText="1"/>
    </xf>
    <xf numFmtId="0" fontId="7" borderId="7" applyNumberFormat="1" applyFont="1" applyFill="0" applyBorder="1" applyAlignment="1" applyProtection="0">
      <alignment vertical="center" wrapText="1"/>
    </xf>
    <xf numFmtId="49" fontId="8" borderId="5" applyNumberFormat="1" applyFont="1" applyFill="0" applyBorder="1" applyAlignment="1" applyProtection="0">
      <alignment horizontal="left" vertical="center" wrapText="1"/>
    </xf>
    <xf numFmtId="0" fontId="9" borderId="6" applyNumberFormat="1" applyFont="1" applyFill="0" applyBorder="1" applyAlignment="1" applyProtection="0">
      <alignment vertical="center" wrapText="1"/>
    </xf>
    <xf numFmtId="0" fontId="9" borderId="7" applyNumberFormat="1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horizontal="left" vertical="center" wrapText="1"/>
    </xf>
    <xf numFmtId="0" fontId="10" borderId="6" applyNumberFormat="1" applyFont="1" applyFill="0" applyBorder="1" applyAlignment="1" applyProtection="0">
      <alignment vertical="center" wrapText="1"/>
    </xf>
    <xf numFmtId="0" fontId="10" borderId="7" applyNumberFormat="1" applyFont="1" applyFill="0" applyBorder="1" applyAlignment="1" applyProtection="0">
      <alignment vertical="center" wrapText="1"/>
    </xf>
  </cellXfs>
  <cellStyles count="1">
    <cellStyle name="Normal" xfId="0" builtinId="0"/>
  </cellStyles>
  <dxfs count="2">
    <dxf>
      <font>
        <color rgb="ff0fc225"/>
      </font>
    </dxf>
    <dxf>
      <font>
        <color rgb="ffe324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0fc225"/>
      <rgbColor rgb="ffe324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57</xdr:row>
      <xdr:rowOff>7011</xdr:rowOff>
    </xdr:from>
    <xdr:to>
      <xdr:col>3</xdr:col>
      <xdr:colOff>840270</xdr:colOff>
      <xdr:row>62</xdr:row>
      <xdr:rowOff>97128</xdr:rowOff>
    </xdr:to>
    <xdr:sp>
      <xdr:nvSpPr>
        <xdr:cNvPr id="2" name="LEGENDE:  Grüner Hintergrund: Besser bewertet als 1. Prüfer…"/>
        <xdr:cNvSpPr txBox="1"/>
      </xdr:nvSpPr>
      <xdr:spPr>
        <a:xfrm>
          <a:off x="-19051" y="11235716"/>
          <a:ext cx="6098072" cy="1353768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LEGENDE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</a:t>
          </a:r>
          <a:b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b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Grüner Hintergrund: Besser bewertet als 1. Prüfer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Roter Hintergrund: Schlechter bewertet als 1. Prüfer 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Grüne Schrift: Bestanden (größer/gleich 50 Pkt)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Rote Schrift: Nicht bestanden (kleiner 50 Pkt)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5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0.0469" style="1" customWidth="1"/>
    <col min="2" max="7" width="19.5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6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</row>
    <row r="3" ht="15.2" customHeight="1">
      <c r="A3" t="s" s="5">
        <v>8</v>
      </c>
      <c r="B3" s="6"/>
      <c r="C3" s="7"/>
      <c r="D3" s="7"/>
      <c r="E3" s="7"/>
      <c r="F3" s="7"/>
      <c r="G3" s="7"/>
    </row>
    <row r="4" ht="14" customHeight="1">
      <c r="A4" t="s" s="8">
        <v>9</v>
      </c>
      <c r="B4" s="9">
        <v>10</v>
      </c>
      <c r="C4" s="10">
        <v>12</v>
      </c>
      <c r="D4" s="10">
        <v>12</v>
      </c>
      <c r="E4" s="10">
        <v>11</v>
      </c>
      <c r="F4" s="10">
        <v>15</v>
      </c>
      <c r="G4" s="10">
        <v>15</v>
      </c>
    </row>
    <row r="5" ht="14" customHeight="1">
      <c r="A5" t="s" s="8">
        <v>10</v>
      </c>
      <c r="B5" s="9">
        <v>0.375</v>
      </c>
      <c r="C5" s="10">
        <v>0.375</v>
      </c>
      <c r="D5" s="10">
        <v>0.375</v>
      </c>
      <c r="E5" s="10">
        <v>0.375</v>
      </c>
      <c r="F5" s="10">
        <v>0.375</v>
      </c>
      <c r="G5" s="10">
        <v>0.375</v>
      </c>
    </row>
    <row r="6" ht="15" customHeight="1">
      <c r="A6" t="s" s="11">
        <v>11</v>
      </c>
      <c r="B6" s="9" cm="1">
        <f t="array" ref="B6">ROUND(B4/B5,0)</f>
        <v>27</v>
      </c>
      <c r="C6" s="10" cm="1">
        <f t="array" ref="C6">ROUND(C4/C5,0)</f>
        <v>32</v>
      </c>
      <c r="D6" s="10" cm="1">
        <f t="array" ref="D6">ROUND(D4/D5,0)</f>
        <v>32</v>
      </c>
      <c r="E6" s="10" cm="1">
        <f t="array" ref="E6">ROUND(E4/E5,0)</f>
        <v>29</v>
      </c>
      <c r="F6" s="10" cm="1">
        <f t="array" ref="F6">ROUND(F4/F5,0)</f>
        <v>40</v>
      </c>
      <c r="G6" s="10" cm="1">
        <f t="array" ref="G6">ROUND(G4/G5,0)</f>
        <v>40</v>
      </c>
    </row>
    <row r="7" ht="15" customHeight="1">
      <c r="A7" s="12"/>
      <c r="B7" s="9"/>
      <c r="C7" s="10"/>
      <c r="D7" s="10"/>
      <c r="E7" s="10"/>
      <c r="F7" s="10"/>
      <c r="G7" s="10"/>
    </row>
    <row r="8" ht="14" customHeight="1">
      <c r="A8" t="s" s="8">
        <v>12</v>
      </c>
      <c r="B8" t="s" s="13">
        <v>13</v>
      </c>
      <c r="C8" t="s" s="14">
        <v>13</v>
      </c>
      <c r="D8" s="10">
        <v>6</v>
      </c>
      <c r="E8" s="15">
        <v>4</v>
      </c>
      <c r="F8" s="10">
        <v>8</v>
      </c>
      <c r="G8" s="10">
        <v>4</v>
      </c>
    </row>
    <row r="9" ht="14" customHeight="1">
      <c r="A9" t="s" s="8">
        <v>14</v>
      </c>
      <c r="B9" s="9">
        <v>4</v>
      </c>
      <c r="C9" s="10">
        <v>10</v>
      </c>
      <c r="D9" s="10">
        <v>8</v>
      </c>
      <c r="E9" s="10">
        <v>10</v>
      </c>
      <c r="F9" s="10">
        <v>8</v>
      </c>
      <c r="G9" t="s" s="14">
        <v>13</v>
      </c>
    </row>
    <row r="10" ht="14" customHeight="1">
      <c r="A10" t="s" s="8">
        <v>15</v>
      </c>
      <c r="B10" s="9">
        <v>7</v>
      </c>
      <c r="C10" s="10">
        <v>10</v>
      </c>
      <c r="D10" s="10">
        <v>8</v>
      </c>
      <c r="E10" s="10">
        <v>10</v>
      </c>
      <c r="F10" t="s" s="14">
        <v>13</v>
      </c>
      <c r="G10" s="10">
        <v>8</v>
      </c>
    </row>
    <row r="11" ht="14" customHeight="1">
      <c r="A11" t="s" s="8">
        <v>16</v>
      </c>
      <c r="B11" s="9">
        <v>10</v>
      </c>
      <c r="C11" s="10">
        <v>8</v>
      </c>
      <c r="D11" t="s" s="14">
        <v>13</v>
      </c>
      <c r="E11" s="10">
        <v>8</v>
      </c>
      <c r="F11" s="10">
        <v>10</v>
      </c>
      <c r="G11" s="10">
        <v>10</v>
      </c>
    </row>
    <row r="12" ht="14" customHeight="1">
      <c r="A12" t="s" s="8">
        <v>17</v>
      </c>
      <c r="B12" s="9">
        <v>6</v>
      </c>
      <c r="C12" s="10">
        <v>10</v>
      </c>
      <c r="D12" s="10">
        <v>8</v>
      </c>
      <c r="E12" s="10">
        <v>10</v>
      </c>
      <c r="F12" s="10">
        <v>10</v>
      </c>
      <c r="G12" s="10">
        <v>10</v>
      </c>
    </row>
    <row r="13" ht="14" customHeight="1">
      <c r="A13" t="s" s="8">
        <v>18</v>
      </c>
      <c r="B13" s="9">
        <v>8</v>
      </c>
      <c r="C13" s="10">
        <v>10</v>
      </c>
      <c r="D13" s="10">
        <v>10</v>
      </c>
      <c r="E13" s="10">
        <v>10</v>
      </c>
      <c r="F13" s="10">
        <v>10</v>
      </c>
      <c r="G13" s="10">
        <v>10</v>
      </c>
    </row>
    <row r="14" ht="15" customHeight="1">
      <c r="A14" t="s" s="16">
        <v>19</v>
      </c>
      <c r="B14" s="17" cm="1">
        <f t="array" ref="B14">SUM(B8:B13)</f>
        <v>35</v>
      </c>
      <c r="C14" s="18" cm="1">
        <f t="array" ref="C14">SUM(C8:C13)</f>
        <v>48</v>
      </c>
      <c r="D14" s="18" cm="1">
        <f t="array" ref="D14">SUM(D8:D13)</f>
        <v>40</v>
      </c>
      <c r="E14" s="18" cm="1">
        <f t="array" ref="E14">SUM(E8:E13)</f>
        <v>52</v>
      </c>
      <c r="F14" s="18" cm="1">
        <f t="array" ref="F14">SUM(F8:F13)</f>
        <v>46</v>
      </c>
      <c r="G14" s="18" cm="1">
        <f t="array" ref="G14">SUM(G8:G13)</f>
        <v>42</v>
      </c>
    </row>
    <row r="15" ht="15" customHeight="1">
      <c r="A15" t="s" s="16">
        <v>20</v>
      </c>
      <c r="B15" s="17">
        <v>1.2</v>
      </c>
      <c r="C15" s="18">
        <v>1.2</v>
      </c>
      <c r="D15" s="18">
        <v>1.2</v>
      </c>
      <c r="E15" s="18">
        <v>1.2</v>
      </c>
      <c r="F15" s="18">
        <v>1.2</v>
      </c>
      <c r="G15" s="18">
        <v>1.2</v>
      </c>
    </row>
    <row r="16" ht="15" customHeight="1">
      <c r="A16" t="s" s="19">
        <v>11</v>
      </c>
      <c r="B16" s="20" cm="1">
        <f t="array" ref="B16">ROUND(B14*B15,0)</f>
        <v>42</v>
      </c>
      <c r="C16" s="21" cm="1">
        <f t="array" ref="C16">ROUND(C14*C15,0)</f>
        <v>58</v>
      </c>
      <c r="D16" s="21" cm="1">
        <f t="array" ref="D16">ROUND(D14*D15,0)</f>
        <v>48</v>
      </c>
      <c r="E16" s="21" cm="1">
        <f t="array" ref="E16">ROUND(E14*E15,0)</f>
        <v>62</v>
      </c>
      <c r="F16" s="21" cm="1">
        <f t="array" ref="F16">ROUND(F14*F15,0)</f>
        <v>55</v>
      </c>
      <c r="G16" s="21" cm="1">
        <f t="array" ref="G16">ROUND(G14*G15,0)</f>
        <v>50</v>
      </c>
    </row>
    <row r="17" ht="24.95" customHeight="1">
      <c r="A17" t="s" s="22">
        <v>21</v>
      </c>
      <c r="B17" s="23" cm="1">
        <f t="array" ref="B17">SUM(B6+B16)</f>
        <v>69</v>
      </c>
      <c r="C17" s="24" cm="1">
        <f t="array" ref="C17">SUM(C6+C16)</f>
        <v>90</v>
      </c>
      <c r="D17" s="24" cm="1">
        <f t="array" ref="D17">SUM(D6+D16)</f>
        <v>80</v>
      </c>
      <c r="E17" s="24" cm="1">
        <f t="array" ref="E17">SUM(E6+E16)</f>
        <v>91</v>
      </c>
      <c r="F17" s="24" cm="1">
        <f t="array" ref="F17">SUM(F6+F16)</f>
        <v>95</v>
      </c>
      <c r="G17" s="24" cm="1">
        <f t="array" ref="G17">SUM(G6+G16)</f>
        <v>90</v>
      </c>
    </row>
    <row r="18" ht="15" customHeight="1">
      <c r="A18" s="12"/>
      <c r="B18" s="9"/>
      <c r="C18" s="10"/>
      <c r="D18" s="10"/>
      <c r="E18" s="10"/>
      <c r="F18" s="10"/>
      <c r="G18" s="10"/>
    </row>
    <row r="19" ht="15" customHeight="1">
      <c r="A19" t="s" s="25">
        <v>22</v>
      </c>
      <c r="B19" s="9"/>
      <c r="C19" s="10"/>
      <c r="D19" s="10"/>
      <c r="E19" s="10"/>
      <c r="F19" s="10"/>
      <c r="G19" s="10"/>
    </row>
    <row r="20" ht="14" customHeight="1">
      <c r="A20" t="s" s="8">
        <v>12</v>
      </c>
      <c r="B20" s="9">
        <v>0</v>
      </c>
      <c r="C20" s="10">
        <v>0</v>
      </c>
      <c r="D20" s="10">
        <v>7</v>
      </c>
      <c r="E20" s="10">
        <v>2</v>
      </c>
      <c r="F20" s="10">
        <v>4</v>
      </c>
      <c r="G20" s="10">
        <v>10</v>
      </c>
    </row>
    <row r="21" ht="14" customHeight="1">
      <c r="A21" t="s" s="8">
        <v>14</v>
      </c>
      <c r="B21" s="9">
        <v>0</v>
      </c>
      <c r="C21" s="10">
        <v>0</v>
      </c>
      <c r="D21" s="10">
        <v>0</v>
      </c>
      <c r="E21" s="10">
        <v>3</v>
      </c>
      <c r="F21" s="10">
        <v>3</v>
      </c>
      <c r="G21" s="10">
        <v>7</v>
      </c>
    </row>
    <row r="22" ht="14" customHeight="1">
      <c r="A22" t="s" s="8">
        <v>15</v>
      </c>
      <c r="B22" s="9">
        <v>0</v>
      </c>
      <c r="C22" s="10">
        <v>6</v>
      </c>
      <c r="D22" s="10">
        <v>3</v>
      </c>
      <c r="E22" s="10">
        <v>10</v>
      </c>
      <c r="F22" s="10">
        <v>6</v>
      </c>
      <c r="G22" s="10">
        <v>10</v>
      </c>
    </row>
    <row r="23" ht="14" customHeight="1">
      <c r="A23" t="s" s="8">
        <v>16</v>
      </c>
      <c r="B23" s="9">
        <v>2</v>
      </c>
      <c r="C23" s="10">
        <v>8</v>
      </c>
      <c r="D23" s="10">
        <v>1</v>
      </c>
      <c r="E23" s="10">
        <v>9</v>
      </c>
      <c r="F23" s="10">
        <v>2</v>
      </c>
      <c r="G23" s="10">
        <v>6</v>
      </c>
    </row>
    <row r="24" ht="14" customHeight="1">
      <c r="A24" t="s" s="8">
        <v>17</v>
      </c>
      <c r="B24" s="9">
        <v>1</v>
      </c>
      <c r="C24" s="10">
        <v>8</v>
      </c>
      <c r="D24" s="10">
        <v>3</v>
      </c>
      <c r="E24" s="10">
        <v>10</v>
      </c>
      <c r="F24" s="10">
        <v>10</v>
      </c>
      <c r="G24" s="10">
        <v>10</v>
      </c>
    </row>
    <row r="25" ht="14" customHeight="1">
      <c r="A25" t="s" s="8">
        <v>18</v>
      </c>
      <c r="B25" s="9">
        <v>3</v>
      </c>
      <c r="C25" s="10">
        <v>5</v>
      </c>
      <c r="D25" s="10">
        <v>4</v>
      </c>
      <c r="E25" s="10">
        <v>8</v>
      </c>
      <c r="F25" s="10">
        <v>6</v>
      </c>
      <c r="G25" s="10">
        <v>8</v>
      </c>
    </row>
    <row r="26" ht="14" customHeight="1">
      <c r="A26" t="s" s="8">
        <v>23</v>
      </c>
      <c r="B26" s="9">
        <v>4</v>
      </c>
      <c r="C26" s="10">
        <v>9</v>
      </c>
      <c r="D26" s="10">
        <v>7</v>
      </c>
      <c r="E26" s="10">
        <v>3</v>
      </c>
      <c r="F26" s="10">
        <v>10</v>
      </c>
      <c r="G26" s="10">
        <v>5</v>
      </c>
    </row>
    <row r="27" ht="14" customHeight="1">
      <c r="A27" t="s" s="8">
        <v>24</v>
      </c>
      <c r="B27" s="9">
        <v>1</v>
      </c>
      <c r="C27" s="10">
        <v>8</v>
      </c>
      <c r="D27" s="10">
        <v>7</v>
      </c>
      <c r="E27" s="10">
        <v>8</v>
      </c>
      <c r="F27" s="10">
        <v>7</v>
      </c>
      <c r="G27" s="10">
        <v>7</v>
      </c>
    </row>
    <row r="28" ht="14" customHeight="1">
      <c r="A28" t="s" s="8">
        <v>25</v>
      </c>
      <c r="B28" s="9">
        <v>8</v>
      </c>
      <c r="C28" s="10">
        <v>7</v>
      </c>
      <c r="D28" s="10">
        <v>8</v>
      </c>
      <c r="E28" s="10">
        <v>8</v>
      </c>
      <c r="F28" s="10">
        <v>7</v>
      </c>
      <c r="G28" s="10">
        <v>9</v>
      </c>
    </row>
    <row r="29" ht="14" customHeight="1">
      <c r="A29" t="s" s="8">
        <v>26</v>
      </c>
      <c r="B29" s="9">
        <v>3</v>
      </c>
      <c r="C29" s="10">
        <v>3</v>
      </c>
      <c r="D29" s="10">
        <v>3</v>
      </c>
      <c r="E29" s="10">
        <v>6</v>
      </c>
      <c r="F29" s="10">
        <v>0</v>
      </c>
      <c r="G29" s="10">
        <v>0</v>
      </c>
    </row>
    <row r="30" ht="24.95" customHeight="1">
      <c r="A30" t="s" s="22">
        <v>21</v>
      </c>
      <c r="B30" s="23" cm="1">
        <f t="array" ref="B30">SUM(B20:B29)</f>
        <v>22</v>
      </c>
      <c r="C30" s="24" cm="1">
        <f t="array" ref="C30">SUM(C20:C29)</f>
        <v>54</v>
      </c>
      <c r="D30" s="24" cm="1">
        <f t="array" ref="D30">SUM(D20:D29)</f>
        <v>43</v>
      </c>
      <c r="E30" s="24" cm="1">
        <f t="array" ref="E30">SUM(E20:E29)</f>
        <v>67</v>
      </c>
      <c r="F30" s="24" cm="1">
        <f t="array" ref="F30">SUM(F20:F29)</f>
        <v>55</v>
      </c>
      <c r="G30" s="24" cm="1">
        <f t="array" ref="G30">SUM(G20:G29)</f>
        <v>72</v>
      </c>
    </row>
    <row r="31" ht="15" customHeight="1">
      <c r="A31" s="12"/>
      <c r="B31" s="9"/>
      <c r="C31" s="10"/>
      <c r="D31" s="10"/>
      <c r="E31" s="10"/>
      <c r="F31" s="10"/>
      <c r="G31" s="10"/>
    </row>
    <row r="32" ht="15" customHeight="1">
      <c r="A32" t="s" s="25">
        <v>27</v>
      </c>
      <c r="B32" s="9"/>
      <c r="C32" s="10"/>
      <c r="D32" s="10"/>
      <c r="E32" s="10"/>
      <c r="F32" s="10"/>
      <c r="G32" s="10"/>
    </row>
    <row r="33" ht="14" customHeight="1">
      <c r="A33" t="s" s="8">
        <v>12</v>
      </c>
      <c r="B33" s="9">
        <v>0</v>
      </c>
      <c r="C33" s="10">
        <v>0</v>
      </c>
      <c r="D33" s="10">
        <v>5</v>
      </c>
      <c r="E33" s="10">
        <v>3</v>
      </c>
      <c r="F33" s="10">
        <v>8</v>
      </c>
      <c r="G33" s="10">
        <v>0</v>
      </c>
    </row>
    <row r="34" ht="14" customHeight="1">
      <c r="A34" t="s" s="8">
        <v>14</v>
      </c>
      <c r="B34" s="9">
        <v>0</v>
      </c>
      <c r="C34" s="10">
        <v>5</v>
      </c>
      <c r="D34" s="10">
        <v>5</v>
      </c>
      <c r="E34" s="10">
        <v>9</v>
      </c>
      <c r="F34" s="10">
        <v>5</v>
      </c>
      <c r="G34" s="10">
        <v>10</v>
      </c>
    </row>
    <row r="35" ht="14" customHeight="1">
      <c r="A35" t="s" s="8">
        <v>15</v>
      </c>
      <c r="B35" s="9">
        <v>7</v>
      </c>
      <c r="C35" s="10">
        <v>5</v>
      </c>
      <c r="D35" s="10">
        <v>7</v>
      </c>
      <c r="E35" s="10">
        <v>4</v>
      </c>
      <c r="F35" s="10">
        <v>4</v>
      </c>
      <c r="G35" s="10">
        <v>5</v>
      </c>
    </row>
    <row r="36" ht="14" customHeight="1">
      <c r="A36" t="s" s="8">
        <v>16</v>
      </c>
      <c r="B36" s="9">
        <v>8</v>
      </c>
      <c r="C36" s="10">
        <v>3</v>
      </c>
      <c r="D36" s="10">
        <v>10</v>
      </c>
      <c r="E36" s="10">
        <v>6</v>
      </c>
      <c r="F36" s="10">
        <v>3</v>
      </c>
      <c r="G36" s="10">
        <v>8</v>
      </c>
    </row>
    <row r="37" ht="14" customHeight="1">
      <c r="A37" t="s" s="8">
        <v>17</v>
      </c>
      <c r="B37" s="9">
        <v>6</v>
      </c>
      <c r="C37" s="10">
        <v>4</v>
      </c>
      <c r="D37" s="10">
        <v>8</v>
      </c>
      <c r="E37" s="10">
        <v>4</v>
      </c>
      <c r="F37" s="10">
        <v>4</v>
      </c>
      <c r="G37" s="10">
        <v>4</v>
      </c>
    </row>
    <row r="38" ht="14" customHeight="1">
      <c r="A38" t="s" s="8">
        <v>18</v>
      </c>
      <c r="B38" s="9">
        <v>8</v>
      </c>
      <c r="C38" s="10">
        <v>8</v>
      </c>
      <c r="D38" s="10">
        <v>10</v>
      </c>
      <c r="E38" s="10">
        <v>8</v>
      </c>
      <c r="F38" s="10">
        <v>8</v>
      </c>
      <c r="G38" s="10">
        <v>8</v>
      </c>
    </row>
    <row r="39" ht="14" customHeight="1">
      <c r="A39" t="s" s="8">
        <v>23</v>
      </c>
      <c r="B39" s="9">
        <v>5</v>
      </c>
      <c r="C39" s="10">
        <v>10</v>
      </c>
      <c r="D39" s="10">
        <v>0</v>
      </c>
      <c r="E39" s="10">
        <v>8</v>
      </c>
      <c r="F39" s="10">
        <v>9</v>
      </c>
      <c r="G39" s="10">
        <v>10</v>
      </c>
    </row>
    <row r="40" ht="14" customHeight="1">
      <c r="A40" t="s" s="8">
        <v>24</v>
      </c>
      <c r="B40" s="9">
        <v>8</v>
      </c>
      <c r="C40" s="10">
        <v>8</v>
      </c>
      <c r="D40" s="10">
        <v>8</v>
      </c>
      <c r="E40" s="10">
        <v>6</v>
      </c>
      <c r="F40" s="10">
        <v>8</v>
      </c>
      <c r="G40" s="10">
        <v>8</v>
      </c>
    </row>
    <row r="41" ht="14" customHeight="1">
      <c r="A41" t="s" s="8">
        <v>25</v>
      </c>
      <c r="B41" s="9">
        <v>1</v>
      </c>
      <c r="C41" s="10">
        <v>8</v>
      </c>
      <c r="D41" s="10">
        <v>9</v>
      </c>
      <c r="E41" s="10">
        <v>3</v>
      </c>
      <c r="F41" s="10">
        <v>3</v>
      </c>
      <c r="G41" s="10">
        <v>9</v>
      </c>
    </row>
    <row r="42" ht="14" customHeight="1">
      <c r="A42" t="s" s="8">
        <v>26</v>
      </c>
      <c r="B42" s="9">
        <v>4</v>
      </c>
      <c r="C42" s="10">
        <v>1</v>
      </c>
      <c r="D42" s="10">
        <v>5</v>
      </c>
      <c r="E42" s="10">
        <v>6</v>
      </c>
      <c r="F42" s="10">
        <v>7</v>
      </c>
      <c r="G42" s="10">
        <v>9</v>
      </c>
    </row>
    <row r="43" ht="14" customHeight="1">
      <c r="A43" t="s" s="8">
        <v>28</v>
      </c>
      <c r="B43" s="9">
        <v>8</v>
      </c>
      <c r="C43" s="10">
        <v>6</v>
      </c>
      <c r="D43" s="10">
        <v>8</v>
      </c>
      <c r="E43" s="10">
        <v>6</v>
      </c>
      <c r="F43" s="10">
        <v>4</v>
      </c>
      <c r="G43" s="10">
        <v>8</v>
      </c>
    </row>
    <row r="44" ht="15" customHeight="1">
      <c r="A44" t="s" s="16">
        <v>19</v>
      </c>
      <c r="B44" s="26" cm="1">
        <f t="array" ref="B44">SUM(B33:B43)</f>
        <v>55</v>
      </c>
      <c r="C44" s="27" cm="1">
        <f t="array" ref="C44">SUM(C33:C43)</f>
        <v>58</v>
      </c>
      <c r="D44" s="27" cm="1">
        <f t="array" ref="D44">SUM(D33:D43)</f>
        <v>75</v>
      </c>
      <c r="E44" s="27" cm="1">
        <f t="array" ref="E44">SUM(E33:E43)</f>
        <v>63</v>
      </c>
      <c r="F44" s="27" cm="1">
        <f t="array" ref="F44">SUM(F33:F43)</f>
        <v>63</v>
      </c>
      <c r="G44" s="27" cm="1">
        <f t="array" ref="G44">SUM(G33:G43)</f>
        <v>79</v>
      </c>
    </row>
    <row r="45" ht="15" customHeight="1">
      <c r="A45" t="s" s="16">
        <v>29</v>
      </c>
      <c r="B45" s="17">
        <v>1.1</v>
      </c>
      <c r="C45" s="18">
        <v>1.1</v>
      </c>
      <c r="D45" s="18">
        <v>1.1</v>
      </c>
      <c r="E45" s="18">
        <v>1.1</v>
      </c>
      <c r="F45" s="18">
        <v>1.1</v>
      </c>
      <c r="G45" s="18">
        <v>1.1</v>
      </c>
    </row>
    <row r="46" ht="24.95" customHeight="1">
      <c r="A46" t="s" s="22">
        <v>21</v>
      </c>
      <c r="B46" s="23" cm="1">
        <f t="array" ref="B46">ROUND(B44/B45,0)</f>
        <v>50</v>
      </c>
      <c r="C46" s="24" cm="1">
        <f t="array" ref="C46">ROUND(C44/C45,0)</f>
        <v>53</v>
      </c>
      <c r="D46" s="24" cm="1">
        <f t="array" ref="D46">ROUND(D44/D45,0)</f>
        <v>68</v>
      </c>
      <c r="E46" s="24" cm="1">
        <f t="array" ref="E46">ROUND(E44/E45,0)</f>
        <v>57</v>
      </c>
      <c r="F46" s="24" cm="1">
        <f t="array" ref="F46">ROUND(F44/F45,0)</f>
        <v>57</v>
      </c>
      <c r="G46" s="24" cm="1">
        <f t="array" ref="G46">ROUND(G44/G45,0)</f>
        <v>72</v>
      </c>
    </row>
    <row r="47" ht="15" customHeight="1">
      <c r="A47" s="12"/>
      <c r="B47" s="9"/>
      <c r="C47" s="10"/>
      <c r="D47" s="10"/>
      <c r="E47" s="10"/>
      <c r="F47" s="10"/>
      <c r="G47" s="10"/>
    </row>
    <row r="48" ht="15" customHeight="1">
      <c r="A48" t="s" s="25">
        <v>30</v>
      </c>
      <c r="B48" s="9"/>
      <c r="C48" s="10"/>
      <c r="D48" s="10"/>
      <c r="E48" s="10"/>
      <c r="F48" s="10"/>
      <c r="G48" s="10"/>
    </row>
    <row r="49" ht="14" customHeight="1">
      <c r="A49" t="s" s="8">
        <v>12</v>
      </c>
      <c r="B49" s="9">
        <v>0</v>
      </c>
      <c r="C49" s="10">
        <v>2</v>
      </c>
      <c r="D49" s="10">
        <v>2</v>
      </c>
      <c r="E49" s="10">
        <v>3</v>
      </c>
      <c r="F49" s="10">
        <v>5</v>
      </c>
      <c r="G49" s="10">
        <v>10</v>
      </c>
    </row>
    <row r="50" ht="14" customHeight="1">
      <c r="A50" t="s" s="8">
        <v>14</v>
      </c>
      <c r="B50" s="9">
        <v>1</v>
      </c>
      <c r="C50" s="10">
        <v>0</v>
      </c>
      <c r="D50" s="10">
        <v>0</v>
      </c>
      <c r="E50" s="10">
        <v>5</v>
      </c>
      <c r="F50" s="10">
        <v>8</v>
      </c>
      <c r="G50" s="10">
        <v>6</v>
      </c>
    </row>
    <row r="51" ht="14" customHeight="1">
      <c r="A51" t="s" s="8">
        <v>15</v>
      </c>
      <c r="B51" s="9">
        <v>1</v>
      </c>
      <c r="C51" s="10">
        <v>0</v>
      </c>
      <c r="D51" s="10">
        <v>0</v>
      </c>
      <c r="E51" s="10">
        <v>1</v>
      </c>
      <c r="F51" s="10">
        <v>5</v>
      </c>
      <c r="G51" s="10">
        <v>3</v>
      </c>
    </row>
    <row r="52" ht="14" customHeight="1">
      <c r="A52" t="s" s="8">
        <v>16</v>
      </c>
      <c r="B52" s="9">
        <v>1</v>
      </c>
      <c r="C52" s="10">
        <v>2</v>
      </c>
      <c r="D52" s="10">
        <v>2</v>
      </c>
      <c r="E52" s="10">
        <v>3</v>
      </c>
      <c r="F52" s="10">
        <v>6</v>
      </c>
      <c r="G52" s="10">
        <v>0</v>
      </c>
    </row>
    <row r="53" ht="14" customHeight="1">
      <c r="A53" t="s" s="8">
        <v>17</v>
      </c>
      <c r="B53" s="9">
        <v>0</v>
      </c>
      <c r="C53" s="10">
        <v>1</v>
      </c>
      <c r="D53" s="10">
        <v>3</v>
      </c>
      <c r="E53" s="10">
        <v>6</v>
      </c>
      <c r="F53" s="10">
        <v>6</v>
      </c>
      <c r="G53" s="10">
        <v>6</v>
      </c>
    </row>
    <row r="54" ht="15" customHeight="1">
      <c r="A54" t="s" s="16">
        <v>19</v>
      </c>
      <c r="B54" s="26" cm="1">
        <f t="array" ref="B54">SUM(B49:B53)</f>
        <v>3</v>
      </c>
      <c r="C54" s="27" cm="1">
        <f t="array" ref="C54">SUM(C49:C53)</f>
        <v>5</v>
      </c>
      <c r="D54" s="27" cm="1">
        <f t="array" ref="D54">SUM(D49:D53)</f>
        <v>7</v>
      </c>
      <c r="E54" s="27" cm="1">
        <f t="array" ref="E54">SUM(E49:E53)</f>
        <v>18</v>
      </c>
      <c r="F54" s="27" cm="1">
        <f t="array" ref="F54">SUM(F49:F53)</f>
        <v>30</v>
      </c>
      <c r="G54" s="27" cm="1">
        <f t="array" ref="G54">SUM(G49:G53)</f>
        <v>25</v>
      </c>
    </row>
    <row r="55" ht="15" customHeight="1">
      <c r="A55" t="s" s="16">
        <v>29</v>
      </c>
      <c r="B55" s="17">
        <v>0.5</v>
      </c>
      <c r="C55" s="18">
        <v>0.5</v>
      </c>
      <c r="D55" s="18">
        <v>0.5</v>
      </c>
      <c r="E55" s="18">
        <v>0.5</v>
      </c>
      <c r="F55" s="18">
        <v>0.5</v>
      </c>
      <c r="G55" s="18">
        <v>0.5</v>
      </c>
    </row>
    <row r="56" ht="24.95" customHeight="1">
      <c r="A56" t="s" s="22">
        <v>21</v>
      </c>
      <c r="B56" s="23" cm="1">
        <f t="array" ref="B56">ROUND(B54/B55,0)</f>
        <v>6</v>
      </c>
      <c r="C56" s="24" cm="1">
        <f t="array" ref="C56">ROUND(C54/C55,0)</f>
        <v>10</v>
      </c>
      <c r="D56" s="24" cm="1">
        <f t="array" ref="D56">ROUND(D54/D55,0)</f>
        <v>14</v>
      </c>
      <c r="E56" s="24" cm="1">
        <f t="array" ref="E56">ROUND(E54/E55,0)</f>
        <v>36</v>
      </c>
      <c r="F56" s="24" cm="1">
        <f t="array" ref="F56">ROUND(F54/F55,0)</f>
        <v>60</v>
      </c>
      <c r="G56" s="24" cm="1">
        <f t="array" ref="G56">ROUND(G54/G55,0)</f>
        <v>50</v>
      </c>
    </row>
  </sheetData>
  <mergeCells count="1">
    <mergeCell ref="A1:G1"/>
  </mergeCells>
  <conditionalFormatting sqref="B17:G17 B30:G30 B46:G46 B56:G56">
    <cfRule type="cellIs" dxfId="0" priority="1" operator="greaterThanOrEqual" stopIfTrue="1">
      <formula>50</formula>
    </cfRule>
    <cfRule type="cellIs" dxfId="1" priority="2" operator="lessThan" stopIfTrue="1">
      <formula>50</formula>
    </cfRule>
  </conditionalFormatting>
  <pageMargins left="0.5" right="0.5" top="0.75" bottom="0.75" header="0.277778" footer="0.277778"/>
  <pageSetup firstPageNumber="1" fitToHeight="1" fitToWidth="1" scale="35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